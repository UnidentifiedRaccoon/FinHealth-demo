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мой бюджет_МЕСЯЦ" sheetId="2" r:id="rId5"/>
  </sheets>
  <definedNames/>
  <calcPr/>
  <extLst>
    <ext uri="GoogleSheetsCustomDataVersion1">
      <go:sheetsCustomData xmlns:go="http://customooxmlschemas.google.com/" r:id="rId6" roundtripDataSignature="AMtx7mjtuSxH+6PXDVBZqMMwvCQuwVJa/w=="/>
    </ext>
  </extLst>
</workbook>
</file>

<file path=xl/sharedStrings.xml><?xml version="1.0" encoding="utf-8"?>
<sst xmlns="http://schemas.openxmlformats.org/spreadsheetml/2006/main" count="101" uniqueCount="94">
  <si>
    <t>Управление денежными потоками</t>
  </si>
  <si>
    <t>Как составлять бюджет на месяц</t>
  </si>
  <si>
    <t>1.</t>
  </si>
  <si>
    <r>
      <rPr>
        <rFont val="Verdana"/>
        <color rgb="FF000000"/>
        <sz val="20.0"/>
      </rPr>
      <t xml:space="preserve">Внесите </t>
    </r>
    <r>
      <rPr>
        <rFont val="Verdana"/>
        <b/>
        <color rgb="FF000000"/>
        <sz val="20.0"/>
      </rPr>
      <t>остаток</t>
    </r>
    <r>
      <rPr>
        <rFont val="Verdana"/>
        <color rgb="FF000000"/>
        <sz val="20.0"/>
      </rPr>
      <t xml:space="preserve"> денег с прошлого месяца</t>
    </r>
  </si>
  <si>
    <t>2.</t>
  </si>
  <si>
    <r>
      <rPr>
        <rFont val="Verdana"/>
        <color rgb="FF000000"/>
        <sz val="20.0"/>
      </rPr>
      <t xml:space="preserve">Внесите суммы </t>
    </r>
    <r>
      <rPr>
        <rFont val="Verdana"/>
        <b/>
        <color rgb="FF000000"/>
        <sz val="20.0"/>
      </rPr>
      <t>доходов</t>
    </r>
    <r>
      <rPr>
        <rFont val="Verdana"/>
        <color rgb="FF000000"/>
        <sz val="20.0"/>
      </rPr>
      <t>, которые вы ожидаете в течение месяца</t>
    </r>
  </si>
  <si>
    <t>3.</t>
  </si>
  <si>
    <r>
      <rPr>
        <rFont val="Verdana"/>
        <color rgb="FF000000"/>
        <sz val="20.0"/>
      </rPr>
      <t xml:space="preserve">Запланируйте обязательные </t>
    </r>
    <r>
      <rPr>
        <rFont val="Verdana"/>
        <b/>
        <color rgb="FF000000"/>
        <sz val="20.0"/>
      </rPr>
      <t>расходы</t>
    </r>
    <r>
      <rPr>
        <rFont val="Verdana"/>
        <color rgb="FF000000"/>
        <sz val="20.0"/>
      </rPr>
      <t xml:space="preserve"> (квартплата, платежи по кредитам и др)</t>
    </r>
  </si>
  <si>
    <t>4.</t>
  </si>
  <si>
    <r>
      <rPr>
        <rFont val="Verdana"/>
        <color rgb="FF000000"/>
        <sz val="20.0"/>
      </rPr>
      <t xml:space="preserve">Запланируйте </t>
    </r>
    <r>
      <rPr>
        <rFont val="Verdana"/>
        <b/>
        <color rgb="FF000000"/>
        <sz val="20.0"/>
      </rPr>
      <t>ежегодные расходы и финансовые цели</t>
    </r>
    <r>
      <rPr>
        <rFont val="Verdana"/>
        <color rgb="FF000000"/>
        <sz val="20.0"/>
      </rPr>
      <t xml:space="preserve"> (страховка, сбережения, отпуск, подготовка к школе и т.д.)</t>
    </r>
  </si>
  <si>
    <t>5.</t>
  </si>
  <si>
    <r>
      <rPr>
        <rFont val="Verdana"/>
        <color rgb="FF000000"/>
        <sz val="20.0"/>
      </rPr>
      <t xml:space="preserve">Запланируйте </t>
    </r>
    <r>
      <rPr>
        <rFont val="Verdana"/>
        <b/>
        <color rgb="FF000000"/>
        <sz val="20.0"/>
      </rPr>
      <t>переменные расходы</t>
    </r>
    <r>
      <rPr>
        <rFont val="Verdana"/>
        <color rgb="FF000000"/>
        <sz val="20.0"/>
      </rPr>
      <t xml:space="preserve"> по статьям</t>
    </r>
  </si>
  <si>
    <t>6.</t>
  </si>
  <si>
    <r>
      <rPr>
        <rFont val="Verdana"/>
        <b/>
        <color rgb="FF000000"/>
        <sz val="20.0"/>
      </rPr>
      <t>Планировать</t>
    </r>
    <r>
      <rPr>
        <rFont val="Verdana"/>
        <color rgb="FF000000"/>
        <sz val="20.0"/>
      </rPr>
      <t xml:space="preserve"> можете суммы на весь месяц или по неделям</t>
    </r>
  </si>
  <si>
    <t>7.</t>
  </si>
  <si>
    <r>
      <rPr>
        <rFont val="Verdana"/>
        <color rgb="FF000000"/>
        <sz val="20.0"/>
      </rPr>
      <t xml:space="preserve">Посмотрите на </t>
    </r>
    <r>
      <rPr>
        <rFont val="Verdana"/>
        <b/>
        <color rgb="FF000000"/>
        <sz val="20.0"/>
      </rPr>
      <t>баланс</t>
    </r>
    <r>
      <rPr>
        <rFont val="Verdana"/>
        <color rgb="FF000000"/>
        <sz val="20.0"/>
      </rPr>
      <t xml:space="preserve">. Если </t>
    </r>
    <r>
      <rPr>
        <rFont val="Verdana"/>
        <b/>
        <color rgb="FF000000"/>
        <sz val="20.0"/>
      </rPr>
      <t>отрицательный</t>
    </r>
    <r>
      <rPr>
        <rFont val="Verdana"/>
        <color rgb="FF000000"/>
        <sz val="20.0"/>
      </rPr>
      <t xml:space="preserve"> - уменьшайте суммы переменных расходов. Если </t>
    </r>
    <r>
      <rPr>
        <rFont val="Verdana"/>
        <b/>
        <color rgb="FF000000"/>
        <sz val="20.0"/>
      </rPr>
      <t>положительный</t>
    </r>
    <r>
      <rPr>
        <rFont val="Verdana"/>
        <color rgb="FF000000"/>
        <sz val="20.0"/>
      </rPr>
      <t xml:space="preserve"> - увеличьте сумму на финансовый резерв и инвестиции.</t>
    </r>
  </si>
  <si>
    <t>8.</t>
  </si>
  <si>
    <r>
      <rPr>
        <rFont val="Verdana"/>
        <color rgb="FF000000"/>
        <sz val="20.0"/>
      </rPr>
      <t xml:space="preserve">Статьи Доходов/Расходов/Инвестиций можно </t>
    </r>
    <r>
      <rPr>
        <rFont val="Verdana"/>
        <b/>
        <color rgb="FF000000"/>
        <sz val="20.0"/>
      </rPr>
      <t>менять/удалять/добавлять</t>
    </r>
    <r>
      <rPr>
        <rFont val="Verdana"/>
        <color rgb="FF000000"/>
        <sz val="20.0"/>
      </rPr>
      <t xml:space="preserve"> под Ваши потребности. </t>
    </r>
  </si>
  <si>
    <t>9.</t>
  </si>
  <si>
    <r>
      <rPr>
        <rFont val="Verdana"/>
        <color rgb="FF000000"/>
        <sz val="20.0"/>
      </rPr>
      <t xml:space="preserve">Скопируйте лист и </t>
    </r>
    <r>
      <rPr>
        <rFont val="Verdana"/>
        <b/>
        <color rgb="FF000000"/>
        <sz val="20.0"/>
      </rPr>
      <t>запланируйте</t>
    </r>
    <r>
      <rPr>
        <rFont val="Verdana"/>
        <color rgb="FF000000"/>
        <sz val="20.0"/>
      </rPr>
      <t xml:space="preserve"> следующий месяц с учетом анализа расходов в текущем месяце.</t>
    </r>
  </si>
  <si>
    <t>Баланс на начало месяца</t>
  </si>
  <si>
    <t>Баланс на конец месяца</t>
  </si>
  <si>
    <t>Доходы</t>
  </si>
  <si>
    <t>Дата</t>
  </si>
  <si>
    <t>Статья</t>
  </si>
  <si>
    <t>ИТОГО Доходы</t>
  </si>
  <si>
    <t>Заработная плата</t>
  </si>
  <si>
    <t>Аванс</t>
  </si>
  <si>
    <t>Алименты</t>
  </si>
  <si>
    <t>Подарки</t>
  </si>
  <si>
    <t xml:space="preserve">Аренда </t>
  </si>
  <si>
    <t>Премия</t>
  </si>
  <si>
    <t>Девиденты</t>
  </si>
  <si>
    <t>Консультация</t>
  </si>
  <si>
    <t>Продажа имущества</t>
  </si>
  <si>
    <t>Инвестиции</t>
  </si>
  <si>
    <t>ИТОГО Инвестиции</t>
  </si>
  <si>
    <t>Вклад "Резерв"</t>
  </si>
  <si>
    <t>Вклад "Путешествие в Париж"</t>
  </si>
  <si>
    <t>Брокерский счет</t>
  </si>
  <si>
    <t>Детализация</t>
  </si>
  <si>
    <t>ИТОГО по статье</t>
  </si>
  <si>
    <t>ИТОГО постоянные</t>
  </si>
  <si>
    <t>Структура расходов, %</t>
  </si>
  <si>
    <t>ИТОГО Расходы</t>
  </si>
  <si>
    <t>Расходы</t>
  </si>
  <si>
    <t>Постоянные</t>
  </si>
  <si>
    <t>Квартплата</t>
  </si>
  <si>
    <t>Электричество</t>
  </si>
  <si>
    <t>Проездной на метро</t>
  </si>
  <si>
    <t>Проездной на электричку</t>
  </si>
  <si>
    <t>Интернет</t>
  </si>
  <si>
    <t>Мобильный телефон</t>
  </si>
  <si>
    <t>Оплата танцы</t>
  </si>
  <si>
    <t>Оплата музыкальная школа</t>
  </si>
  <si>
    <t>Кредит</t>
  </si>
  <si>
    <t>Переменные</t>
  </si>
  <si>
    <t>ИТОГО переменные</t>
  </si>
  <si>
    <t>Продукты питания</t>
  </si>
  <si>
    <t>Всего</t>
  </si>
  <si>
    <t>Бытовая химия</t>
  </si>
  <si>
    <t>Питание вне дома</t>
  </si>
  <si>
    <t>Кофе, чай, сладости</t>
  </si>
  <si>
    <t>Развлечения</t>
  </si>
  <si>
    <t>Автомобиль</t>
  </si>
  <si>
    <t>Бензин</t>
  </si>
  <si>
    <t>Мойка</t>
  </si>
  <si>
    <t>Представительские расходы</t>
  </si>
  <si>
    <t>подарок учителям</t>
  </si>
  <si>
    <t>подарок членам семьи</t>
  </si>
  <si>
    <t>Красота и здоровье</t>
  </si>
  <si>
    <t>визит к врачу, стрижка, витамины</t>
  </si>
  <si>
    <t>Дети</t>
  </si>
  <si>
    <t>игрушки</t>
  </si>
  <si>
    <t>Кот</t>
  </si>
  <si>
    <t>корм, наполнитель</t>
  </si>
  <si>
    <t>Одежда/обувь</t>
  </si>
  <si>
    <t>белье</t>
  </si>
  <si>
    <t>Обучение</t>
  </si>
  <si>
    <t>тренинг, книги</t>
  </si>
  <si>
    <t>Для дома</t>
  </si>
  <si>
    <t>скатерть на слол</t>
  </si>
  <si>
    <t>Транспорт</t>
  </si>
  <si>
    <t>такси, билеты на поезд</t>
  </si>
  <si>
    <t>Хобби</t>
  </si>
  <si>
    <t>печать фото</t>
  </si>
  <si>
    <t>Непредвиденные расходы</t>
  </si>
  <si>
    <t xml:space="preserve">Разовые </t>
  </si>
  <si>
    <t>ИТОГО разовые</t>
  </si>
  <si>
    <t>Годовой абонемент в спорт.клуб</t>
  </si>
  <si>
    <t>Путевка в пансионат</t>
  </si>
  <si>
    <t>Страхование автомобиля</t>
  </si>
  <si>
    <t>Страхование квартиры</t>
  </si>
  <si>
    <t>Техническое обслуживание авто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</si>
</sst>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&quot;₽&quot;"/>
    <numFmt numFmtId="165" formatCode="0.0%"/>
    <numFmt numFmtId="166" formatCode="#,##0\ &quot;₽&quot;;\-#,##0\ &quot;₽&quot;"/>
  </numFmts>
  <fonts count="11">
    <font>
      <sz val="11.0"/>
      <color rgb="FF000000"/>
      <name val="Calibri"/>
      <scheme val="minor"/>
    </font>
    <font>
      <sz val="20.0"/>
      <color rgb="FF000000"/>
      <name val="Verdana"/>
    </font>
    <font>
      <b/>
      <sz val="24.0"/>
      <color rgb="FF000000"/>
      <name val="Verdana"/>
    </font>
    <font>
      <b/>
      <sz val="20.0"/>
      <color rgb="FF000000"/>
      <name val="Verdana"/>
    </font>
    <font>
      <b/>
      <sz val="12.0"/>
      <color rgb="FF000000"/>
      <name val="Verdana"/>
    </font>
    <font/>
    <font>
      <sz val="12.0"/>
      <color rgb="FF000000"/>
      <name val="Verdana"/>
    </font>
    <font>
      <b/>
      <sz val="14.0"/>
      <color rgb="FF000000"/>
      <name val="Verdana"/>
    </font>
    <font>
      <sz val="14.0"/>
      <color rgb="FF000000"/>
      <name val="Verdana"/>
    </font>
    <font>
      <b/>
      <i/>
      <sz val="12.0"/>
      <color rgb="FF000000"/>
      <name val="Verdana"/>
    </font>
    <font>
      <i/>
      <sz val="12.0"/>
      <color rgb="FF000000"/>
      <name val="Verdana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DCE6F2"/>
        <bgColor rgb="FFDCE6F2"/>
      </patternFill>
    </fill>
    <fill>
      <patternFill patternType="solid">
        <fgColor rgb="FF7992B1"/>
        <bgColor rgb="FF7992B1"/>
      </patternFill>
    </fill>
    <fill>
      <patternFill patternType="solid">
        <fgColor rgb="FFD7E4BD"/>
        <bgColor rgb="FFD7E4BD"/>
      </patternFill>
    </fill>
    <fill>
      <patternFill patternType="solid">
        <fgColor rgb="FF748C43"/>
        <bgColor rgb="FF748C43"/>
      </patternFill>
    </fill>
    <fill>
      <patternFill patternType="solid">
        <fgColor rgb="FFF2DCDB"/>
        <bgColor rgb="FFF2DCDB"/>
      </patternFill>
    </fill>
    <fill>
      <patternFill patternType="solid">
        <fgColor rgb="FFD99694"/>
        <bgColor rgb="FFD99694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4" fontId="4" numFmtId="3" xfId="0" applyAlignment="1" applyBorder="1" applyFill="1" applyFont="1" applyNumberFormat="1">
      <alignment horizontal="right" shrinkToFit="0" vertical="center" wrapText="1"/>
    </xf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4" fillId="5" fontId="6" numFmtId="14" xfId="0" applyAlignment="1" applyBorder="1" applyFont="1" applyNumberFormat="1">
      <alignment shrinkToFit="0" vertical="center" wrapText="1"/>
    </xf>
    <xf borderId="4" fillId="5" fontId="6" numFmtId="164" xfId="0" applyAlignment="1" applyBorder="1" applyFont="1" applyNumberFormat="1">
      <alignment shrinkToFit="0" vertical="center" wrapText="1"/>
    </xf>
    <xf borderId="5" fillId="6" fontId="3" numFmtId="164" xfId="0" applyAlignment="1" applyBorder="1" applyFont="1" applyNumberFormat="1">
      <alignment horizontal="center" shrinkToFit="0" vertical="center" wrapText="1"/>
    </xf>
    <xf borderId="7" fillId="0" fontId="5" numFmtId="0" xfId="0" applyBorder="1" applyFont="1"/>
    <xf borderId="8" fillId="7" fontId="4" numFmtId="0" xfId="0" applyAlignment="1" applyBorder="1" applyFill="1" applyFont="1">
      <alignment horizontal="left" shrinkToFit="0" vertical="center" wrapText="1"/>
    </xf>
    <xf borderId="9" fillId="0" fontId="5" numFmtId="0" xfId="0" applyBorder="1" applyFont="1"/>
    <xf borderId="4" fillId="7" fontId="4" numFmtId="0" xfId="0" applyAlignment="1" applyBorder="1" applyFont="1">
      <alignment horizontal="center" shrinkToFit="0" vertical="center" wrapText="1"/>
    </xf>
    <xf borderId="4" fillId="7" fontId="6" numFmtId="164" xfId="0" applyAlignment="1" applyBorder="1" applyFont="1" applyNumberFormat="1">
      <alignment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4" fillId="7" fontId="6" numFmtId="0" xfId="0" applyAlignment="1" applyBorder="1" applyFont="1">
      <alignment shrinkToFit="0" vertical="center" wrapText="1"/>
    </xf>
    <xf borderId="5" fillId="8" fontId="3" numFmtId="164" xfId="0" applyAlignment="1" applyBorder="1" applyFont="1" applyNumberFormat="1">
      <alignment horizontal="center" shrinkToFit="0" vertical="center" wrapText="1"/>
    </xf>
    <xf borderId="12" fillId="7" fontId="6" numFmtId="0" xfId="0" applyAlignment="1" applyBorder="1" applyFont="1">
      <alignment shrinkToFit="0" vertical="center" wrapText="1"/>
    </xf>
    <xf borderId="12" fillId="7" fontId="6" numFmtId="164" xfId="0" applyAlignment="1" applyBorder="1" applyFont="1" applyNumberFormat="1">
      <alignment shrinkToFit="0" vertical="center" wrapText="1"/>
    </xf>
    <xf borderId="13" fillId="0" fontId="5" numFmtId="0" xfId="0" applyBorder="1" applyFont="1"/>
    <xf borderId="14" fillId="0" fontId="5" numFmtId="0" xfId="0" applyBorder="1" applyFont="1"/>
    <xf borderId="2" fillId="9" fontId="4" numFmtId="0" xfId="0" applyAlignment="1" applyBorder="1" applyFill="1" applyFont="1">
      <alignment horizontal="center" shrinkToFit="0" vertical="center" wrapText="1"/>
    </xf>
    <xf borderId="15" fillId="0" fontId="5" numFmtId="0" xfId="0" applyBorder="1" applyFont="1"/>
    <xf borderId="4" fillId="9" fontId="4" numFmtId="0" xfId="0" applyAlignment="1" applyBorder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4" numFmtId="164" xfId="0" applyAlignment="1" applyBorder="1" applyFont="1" applyNumberFormat="1">
      <alignment horizontal="center" shrinkToFit="0" vertical="center" wrapText="1"/>
    </xf>
    <xf borderId="4" fillId="10" fontId="4" numFmtId="0" xfId="0" applyAlignment="1" applyBorder="1" applyFont="1">
      <alignment shrinkToFit="0" vertical="center" wrapText="1"/>
    </xf>
    <xf borderId="12" fillId="10" fontId="7" numFmtId="165" xfId="0" applyAlignment="1" applyBorder="1" applyFont="1" applyNumberFormat="1">
      <alignment horizontal="center" shrinkToFit="0" vertical="center" wrapText="1"/>
    </xf>
    <xf borderId="5" fillId="10" fontId="3" numFmtId="164" xfId="0" applyAlignment="1" applyBorder="1" applyFont="1" applyNumberFormat="1">
      <alignment horizontal="center" shrinkToFit="0" vertical="center" wrapText="1"/>
    </xf>
    <xf borderId="12" fillId="10" fontId="8" numFmtId="165" xfId="0" applyAlignment="1" applyBorder="1" applyFont="1" applyNumberFormat="1">
      <alignment horizontal="center" shrinkToFit="0" vertical="center" wrapText="1"/>
    </xf>
    <xf borderId="4" fillId="9" fontId="6" numFmtId="0" xfId="0" applyAlignment="1" applyBorder="1" applyFont="1">
      <alignment shrinkToFit="0" vertical="center" wrapText="1"/>
    </xf>
    <xf borderId="4" fillId="9" fontId="9" numFmtId="0" xfId="0" applyAlignment="1" applyBorder="1" applyFont="1">
      <alignment shrinkToFit="0" vertical="center" wrapText="1"/>
    </xf>
    <xf borderId="4" fillId="9" fontId="4" numFmtId="164" xfId="0" applyAlignment="1" applyBorder="1" applyFont="1" applyNumberFormat="1">
      <alignment horizontal="right" shrinkToFit="0" vertical="center" wrapText="1"/>
    </xf>
    <xf borderId="4" fillId="9" fontId="10" numFmtId="0" xfId="0" applyAlignment="1" applyBorder="1" applyFont="1">
      <alignment shrinkToFit="0" vertical="center" wrapText="1"/>
    </xf>
    <xf borderId="16" fillId="0" fontId="5" numFmtId="0" xfId="0" applyBorder="1" applyFont="1"/>
    <xf borderId="4" fillId="9" fontId="4" numFmtId="0" xfId="0" applyAlignment="1" applyBorder="1" applyFont="1">
      <alignment shrinkToFit="0" vertical="center" wrapText="1"/>
    </xf>
    <xf borderId="12" fillId="9" fontId="6" numFmtId="0" xfId="0" applyAlignment="1" applyBorder="1" applyFont="1">
      <alignment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12" fillId="9" fontId="10" numFmtId="0" xfId="0" applyAlignment="1" applyBorder="1" applyFont="1">
      <alignment horizontal="left" shrinkToFit="0" vertical="center" wrapText="1"/>
    </xf>
    <xf borderId="5" fillId="10" fontId="3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0</xdr:row>
      <xdr:rowOff>95250</xdr:rowOff>
    </xdr:from>
    <xdr:ext cx="1476375" cy="381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6210300</xdr:colOff>
      <xdr:row>0</xdr:row>
      <xdr:rowOff>104775</xdr:rowOff>
    </xdr:from>
    <xdr:ext cx="1104900" cy="409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09.43"/>
    <col customWidth="1" min="3" max="6" width="8.86"/>
    <col customWidth="1" min="7" max="26" width="8.0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4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 t="s">
        <v>2</v>
      </c>
      <c r="B7" s="6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9.5" customHeight="1">
      <c r="A9" s="1" t="s">
        <v>4</v>
      </c>
      <c r="B9" s="6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9.5" customHeight="1">
      <c r="A11" s="1" t="s">
        <v>6</v>
      </c>
      <c r="B11" s="6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6.5" customHeight="1">
      <c r="A13" s="1" t="s">
        <v>8</v>
      </c>
      <c r="B13" s="6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 t="s">
        <v>10</v>
      </c>
      <c r="B15" s="6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9.25" customHeight="1">
      <c r="A17" s="1" t="s">
        <v>12</v>
      </c>
      <c r="B17" s="6" t="s">
        <v>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0.5" customHeight="1">
      <c r="A19" s="1" t="s">
        <v>14</v>
      </c>
      <c r="B19" s="6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4.25" customHeight="1">
      <c r="A21" s="1" t="s">
        <v>16</v>
      </c>
      <c r="B21" s="6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5.5" customHeight="1">
      <c r="A23" s="1" t="s">
        <v>18</v>
      </c>
      <c r="B23" s="6" t="s">
        <v>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20.29"/>
    <col customWidth="1" min="3" max="3" width="33.43"/>
    <col customWidth="1" min="4" max="4" width="24.43"/>
    <col customWidth="1" min="5" max="5" width="25.0"/>
    <col customWidth="1" min="6" max="6" width="25.86"/>
    <col customWidth="1" min="7" max="7" width="18.71"/>
    <col customWidth="1" min="8" max="8" width="25.71"/>
    <col customWidth="1" min="9" max="26" width="8.0"/>
  </cols>
  <sheetData>
    <row r="1" ht="40.5" customHeight="1">
      <c r="A1" s="7" t="s">
        <v>20</v>
      </c>
      <c r="B1" s="8"/>
      <c r="C1" s="9">
        <v>3000.0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0.75" customHeight="1">
      <c r="A2" s="7" t="s">
        <v>21</v>
      </c>
      <c r="B2" s="8"/>
      <c r="C2" s="9">
        <f>C1+E5-(E17+H23)</f>
        <v>1000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22</v>
      </c>
      <c r="B4" s="13" t="s">
        <v>23</v>
      </c>
      <c r="C4" s="13" t="s">
        <v>24</v>
      </c>
      <c r="D4" s="14"/>
      <c r="E4" s="15" t="s">
        <v>25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/>
      <c r="B5" s="17">
        <v>43855.0</v>
      </c>
      <c r="C5" s="14" t="s">
        <v>26</v>
      </c>
      <c r="D5" s="18">
        <v>30000.0</v>
      </c>
      <c r="E5" s="19">
        <f>SUM(D5:D15)</f>
        <v>63500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/>
      <c r="B6" s="17">
        <v>43840.0</v>
      </c>
      <c r="C6" s="14" t="s">
        <v>27</v>
      </c>
      <c r="D6" s="18">
        <v>30000.0</v>
      </c>
      <c r="E6" s="1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/>
      <c r="B7" s="17">
        <v>43860.0</v>
      </c>
      <c r="C7" s="14" t="s">
        <v>28</v>
      </c>
      <c r="D7" s="18">
        <v>0.0</v>
      </c>
      <c r="E7" s="16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/>
      <c r="B8" s="17">
        <v>43831.0</v>
      </c>
      <c r="C8" s="14" t="s">
        <v>29</v>
      </c>
      <c r="D8" s="18">
        <v>500.0</v>
      </c>
      <c r="E8" s="16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/>
      <c r="B9" s="17"/>
      <c r="C9" s="14" t="s">
        <v>30</v>
      </c>
      <c r="D9" s="18">
        <v>0.0</v>
      </c>
      <c r="E9" s="16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/>
      <c r="B10" s="17"/>
      <c r="C10" s="14" t="s">
        <v>31</v>
      </c>
      <c r="D10" s="18">
        <v>0.0</v>
      </c>
      <c r="E10" s="1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/>
      <c r="B11" s="14"/>
      <c r="C11" s="14" t="s">
        <v>32</v>
      </c>
      <c r="D11" s="18">
        <v>0.0</v>
      </c>
      <c r="E11" s="1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/>
      <c r="B12" s="17">
        <v>43860.0</v>
      </c>
      <c r="C12" s="14" t="s">
        <v>33</v>
      </c>
      <c r="D12" s="18">
        <v>2000.0</v>
      </c>
      <c r="E12" s="1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/>
      <c r="B13" s="14"/>
      <c r="C13" s="14" t="s">
        <v>34</v>
      </c>
      <c r="D13" s="18">
        <v>1000.0</v>
      </c>
      <c r="E13" s="1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/>
      <c r="B14" s="14"/>
      <c r="C14" s="14"/>
      <c r="D14" s="18"/>
      <c r="E14" s="1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0"/>
      <c r="B15" s="17"/>
      <c r="C15" s="14"/>
      <c r="D15" s="18"/>
      <c r="E15" s="2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0" customHeight="1">
      <c r="A16" s="21" t="s">
        <v>35</v>
      </c>
      <c r="B16" s="22"/>
      <c r="C16" s="23" t="s">
        <v>24</v>
      </c>
      <c r="D16" s="24"/>
      <c r="E16" s="25" t="s">
        <v>36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6"/>
      <c r="B17" s="27"/>
      <c r="C17" s="28" t="s">
        <v>37</v>
      </c>
      <c r="D17" s="24">
        <v>6000.0</v>
      </c>
      <c r="E17" s="29">
        <f>SUM(D17:D21)</f>
        <v>12000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0.0" customHeight="1">
      <c r="A18" s="26"/>
      <c r="B18" s="27"/>
      <c r="C18" s="28" t="s">
        <v>38</v>
      </c>
      <c r="D18" s="24">
        <v>4000.0</v>
      </c>
      <c r="E18" s="1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6"/>
      <c r="B19" s="27"/>
      <c r="C19" s="30" t="s">
        <v>39</v>
      </c>
      <c r="D19" s="31">
        <v>2000.0</v>
      </c>
      <c r="E19" s="1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6"/>
      <c r="B20" s="27"/>
      <c r="C20" s="30"/>
      <c r="D20" s="31">
        <v>0.0</v>
      </c>
      <c r="E20" s="1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32"/>
      <c r="B21" s="33"/>
      <c r="C21" s="30"/>
      <c r="D21" s="31">
        <v>0.0</v>
      </c>
      <c r="E21" s="2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6.0" customHeight="1">
      <c r="A22" s="34" t="s">
        <v>24</v>
      </c>
      <c r="B22" s="35"/>
      <c r="C22" s="8"/>
      <c r="D22" s="36" t="s">
        <v>40</v>
      </c>
      <c r="E22" s="36" t="s">
        <v>41</v>
      </c>
      <c r="F22" s="37" t="s">
        <v>42</v>
      </c>
      <c r="G22" s="37" t="s">
        <v>43</v>
      </c>
      <c r="H22" s="37" t="s">
        <v>44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6.0" customHeight="1">
      <c r="A23" s="38" t="s">
        <v>45</v>
      </c>
      <c r="B23" s="38" t="s">
        <v>46</v>
      </c>
      <c r="C23" s="39" t="s">
        <v>47</v>
      </c>
      <c r="D23" s="38"/>
      <c r="E23" s="40">
        <v>5000.0</v>
      </c>
      <c r="F23" s="41" t="s">
        <v>42</v>
      </c>
      <c r="G23" s="42">
        <f>F24/H23</f>
        <v>0.3364485981</v>
      </c>
      <c r="H23" s="43">
        <f>SUM(F24,F35,F54)</f>
        <v>53500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0" customHeight="1">
      <c r="A24" s="16"/>
      <c r="B24" s="16"/>
      <c r="C24" s="20"/>
      <c r="D24" s="20"/>
      <c r="E24" s="20"/>
      <c r="F24" s="43">
        <f>SUM(E23:E33)</f>
        <v>18000</v>
      </c>
      <c r="G24" s="44">
        <f>E23/$H$23</f>
        <v>0.09345794393</v>
      </c>
      <c r="H24" s="16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16"/>
      <c r="B25" s="16"/>
      <c r="C25" s="45" t="s">
        <v>48</v>
      </c>
      <c r="D25" s="46"/>
      <c r="E25" s="47">
        <v>1000.0</v>
      </c>
      <c r="F25" s="16"/>
      <c r="G25" s="44">
        <f t="shared" ref="G25:G33" si="1">E25/$H$23</f>
        <v>0.01869158879</v>
      </c>
      <c r="H25" s="16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0" customHeight="1">
      <c r="A26" s="16"/>
      <c r="B26" s="16"/>
      <c r="C26" s="45" t="s">
        <v>49</v>
      </c>
      <c r="D26" s="48"/>
      <c r="E26" s="47">
        <v>0.0</v>
      </c>
      <c r="F26" s="16"/>
      <c r="G26" s="44">
        <f t="shared" si="1"/>
        <v>0</v>
      </c>
      <c r="H26" s="1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6"/>
      <c r="B27" s="16"/>
      <c r="C27" s="45" t="s">
        <v>50</v>
      </c>
      <c r="D27" s="48"/>
      <c r="E27" s="47">
        <v>1400.0</v>
      </c>
      <c r="F27" s="16"/>
      <c r="G27" s="44">
        <f t="shared" si="1"/>
        <v>0.0261682243</v>
      </c>
      <c r="H27" s="1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6"/>
      <c r="B28" s="16"/>
      <c r="C28" s="45" t="s">
        <v>51</v>
      </c>
      <c r="D28" s="48"/>
      <c r="E28" s="47">
        <v>500.0</v>
      </c>
      <c r="F28" s="16"/>
      <c r="G28" s="44">
        <f t="shared" si="1"/>
        <v>0.009345794393</v>
      </c>
      <c r="H28" s="16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6"/>
      <c r="B29" s="16"/>
      <c r="C29" s="45" t="s">
        <v>52</v>
      </c>
      <c r="D29" s="48"/>
      <c r="E29" s="47">
        <v>600.0</v>
      </c>
      <c r="F29" s="16"/>
      <c r="G29" s="44">
        <f t="shared" si="1"/>
        <v>0.01121495327</v>
      </c>
      <c r="H29" s="1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6"/>
      <c r="B30" s="16"/>
      <c r="C30" s="45" t="s">
        <v>53</v>
      </c>
      <c r="D30" s="48"/>
      <c r="E30" s="47">
        <v>8000.0</v>
      </c>
      <c r="F30" s="16"/>
      <c r="G30" s="44">
        <f t="shared" si="1"/>
        <v>0.1495327103</v>
      </c>
      <c r="H30" s="1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0.0" customHeight="1">
      <c r="A31" s="16"/>
      <c r="B31" s="16"/>
      <c r="C31" s="45" t="s">
        <v>54</v>
      </c>
      <c r="D31" s="48"/>
      <c r="E31" s="47">
        <v>1500.0</v>
      </c>
      <c r="F31" s="16"/>
      <c r="G31" s="44">
        <f t="shared" si="1"/>
        <v>0.02803738318</v>
      </c>
      <c r="H31" s="1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6"/>
      <c r="B32" s="16"/>
      <c r="C32" s="45" t="s">
        <v>55</v>
      </c>
      <c r="D32" s="48"/>
      <c r="E32" s="47">
        <v>0.0</v>
      </c>
      <c r="F32" s="16"/>
      <c r="G32" s="44">
        <f t="shared" si="1"/>
        <v>0</v>
      </c>
      <c r="H32" s="1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6"/>
      <c r="B33" s="20"/>
      <c r="C33" s="45"/>
      <c r="D33" s="48"/>
      <c r="E33" s="47">
        <v>0.0</v>
      </c>
      <c r="F33" s="49"/>
      <c r="G33" s="44">
        <f t="shared" si="1"/>
        <v>0</v>
      </c>
      <c r="H33" s="1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0.0" customHeight="1">
      <c r="A34" s="16"/>
      <c r="B34" s="38" t="s">
        <v>56</v>
      </c>
      <c r="C34" s="45"/>
      <c r="D34" s="48"/>
      <c r="E34" s="50" t="s">
        <v>41</v>
      </c>
      <c r="F34" s="41" t="s">
        <v>57</v>
      </c>
      <c r="G34" s="42">
        <f>F35/H23</f>
        <v>0.6635514019</v>
      </c>
      <c r="H34" s="16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6"/>
      <c r="B35" s="16"/>
      <c r="C35" s="51" t="s">
        <v>58</v>
      </c>
      <c r="D35" s="48" t="s">
        <v>59</v>
      </c>
      <c r="E35" s="47">
        <v>18000.0</v>
      </c>
      <c r="F35" s="43">
        <f>SUM(E35:E52)</f>
        <v>35500</v>
      </c>
      <c r="G35" s="44">
        <f t="shared" ref="G35:G52" si="2">E35/$H$23</f>
        <v>0.3364485981</v>
      </c>
      <c r="H35" s="1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6"/>
      <c r="B36" s="16"/>
      <c r="C36" s="52" t="s">
        <v>60</v>
      </c>
      <c r="D36" s="48" t="s">
        <v>59</v>
      </c>
      <c r="E36" s="47">
        <v>500.0</v>
      </c>
      <c r="F36" s="16"/>
      <c r="G36" s="44">
        <f t="shared" si="2"/>
        <v>0.009345794393</v>
      </c>
      <c r="H36" s="16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0.0" customHeight="1">
      <c r="A37" s="16"/>
      <c r="B37" s="16"/>
      <c r="C37" s="52" t="s">
        <v>61</v>
      </c>
      <c r="D37" s="48" t="s">
        <v>62</v>
      </c>
      <c r="E37" s="47">
        <v>2000.0</v>
      </c>
      <c r="F37" s="16"/>
      <c r="G37" s="44">
        <f t="shared" si="2"/>
        <v>0.03738317757</v>
      </c>
      <c r="H37" s="1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6"/>
      <c r="B38" s="16"/>
      <c r="C38" s="52" t="s">
        <v>63</v>
      </c>
      <c r="D38" s="48" t="s">
        <v>59</v>
      </c>
      <c r="E38" s="47">
        <v>4000.0</v>
      </c>
      <c r="F38" s="16"/>
      <c r="G38" s="44">
        <f t="shared" si="2"/>
        <v>0.07476635514</v>
      </c>
      <c r="H38" s="16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6"/>
      <c r="B39" s="16"/>
      <c r="C39" s="39" t="s">
        <v>64</v>
      </c>
      <c r="D39" s="48" t="s">
        <v>65</v>
      </c>
      <c r="E39" s="47">
        <v>2000.0</v>
      </c>
      <c r="F39" s="16"/>
      <c r="G39" s="44">
        <f t="shared" si="2"/>
        <v>0.03738317757</v>
      </c>
      <c r="H39" s="16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6"/>
      <c r="B40" s="16"/>
      <c r="C40" s="20"/>
      <c r="D40" s="48" t="s">
        <v>66</v>
      </c>
      <c r="E40" s="47">
        <v>0.0</v>
      </c>
      <c r="F40" s="16"/>
      <c r="G40" s="44">
        <f t="shared" si="2"/>
        <v>0</v>
      </c>
      <c r="H40" s="16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6"/>
      <c r="B41" s="16"/>
      <c r="C41" s="39" t="s">
        <v>67</v>
      </c>
      <c r="D41" s="48" t="s">
        <v>68</v>
      </c>
      <c r="E41" s="47">
        <v>500.0</v>
      </c>
      <c r="F41" s="16"/>
      <c r="G41" s="44">
        <f t="shared" si="2"/>
        <v>0.009345794393</v>
      </c>
      <c r="H41" s="16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0.0" customHeight="1">
      <c r="A42" s="16"/>
      <c r="B42" s="16"/>
      <c r="C42" s="20"/>
      <c r="D42" s="48" t="s">
        <v>69</v>
      </c>
      <c r="E42" s="47">
        <v>0.0</v>
      </c>
      <c r="F42" s="16"/>
      <c r="G42" s="44">
        <f t="shared" si="2"/>
        <v>0</v>
      </c>
      <c r="H42" s="16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5.0" customHeight="1">
      <c r="A43" s="16"/>
      <c r="B43" s="16"/>
      <c r="C43" s="52" t="s">
        <v>70</v>
      </c>
      <c r="D43" s="48" t="s">
        <v>71</v>
      </c>
      <c r="E43" s="47">
        <v>3000.0</v>
      </c>
      <c r="F43" s="16"/>
      <c r="G43" s="44">
        <f t="shared" si="2"/>
        <v>0.05607476636</v>
      </c>
      <c r="H43" s="16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6"/>
      <c r="B44" s="16"/>
      <c r="C44" s="52" t="s">
        <v>72</v>
      </c>
      <c r="D44" s="48" t="s">
        <v>73</v>
      </c>
      <c r="E44" s="47">
        <v>0.0</v>
      </c>
      <c r="F44" s="16"/>
      <c r="G44" s="44">
        <f t="shared" si="2"/>
        <v>0</v>
      </c>
      <c r="H44" s="16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0.0" customHeight="1">
      <c r="A45" s="16"/>
      <c r="B45" s="16"/>
      <c r="C45" s="52" t="s">
        <v>74</v>
      </c>
      <c r="D45" s="48" t="s">
        <v>75</v>
      </c>
      <c r="E45" s="47">
        <v>2000.0</v>
      </c>
      <c r="F45" s="16"/>
      <c r="G45" s="44">
        <f t="shared" si="2"/>
        <v>0.03738317757</v>
      </c>
      <c r="H45" s="16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6"/>
      <c r="B46" s="16"/>
      <c r="C46" s="52" t="s">
        <v>76</v>
      </c>
      <c r="D46" s="48" t="s">
        <v>77</v>
      </c>
      <c r="E46" s="47">
        <v>0.0</v>
      </c>
      <c r="F46" s="16"/>
      <c r="G46" s="44">
        <f t="shared" si="2"/>
        <v>0</v>
      </c>
      <c r="H46" s="16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6"/>
      <c r="B47" s="16"/>
      <c r="C47" s="52" t="s">
        <v>78</v>
      </c>
      <c r="D47" s="53" t="s">
        <v>79</v>
      </c>
      <c r="E47" s="47">
        <v>1500.0</v>
      </c>
      <c r="F47" s="16"/>
      <c r="G47" s="44">
        <f t="shared" si="2"/>
        <v>0.02803738318</v>
      </c>
      <c r="H47" s="16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6"/>
      <c r="B48" s="16"/>
      <c r="C48" s="52" t="s">
        <v>80</v>
      </c>
      <c r="D48" s="48" t="s">
        <v>81</v>
      </c>
      <c r="E48" s="47">
        <v>0.0</v>
      </c>
      <c r="F48" s="16"/>
      <c r="G48" s="44">
        <f t="shared" si="2"/>
        <v>0</v>
      </c>
      <c r="H48" s="16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0.0" customHeight="1">
      <c r="A49" s="16"/>
      <c r="B49" s="16"/>
      <c r="C49" s="52" t="s">
        <v>82</v>
      </c>
      <c r="D49" s="48" t="s">
        <v>83</v>
      </c>
      <c r="E49" s="47">
        <v>0.0</v>
      </c>
      <c r="F49" s="16"/>
      <c r="G49" s="44">
        <f t="shared" si="2"/>
        <v>0</v>
      </c>
      <c r="H49" s="16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6"/>
      <c r="B50" s="16"/>
      <c r="C50" s="52" t="s">
        <v>84</v>
      </c>
      <c r="D50" s="48" t="s">
        <v>85</v>
      </c>
      <c r="E50" s="47">
        <v>0.0</v>
      </c>
      <c r="F50" s="16"/>
      <c r="G50" s="44">
        <f t="shared" si="2"/>
        <v>0</v>
      </c>
      <c r="H50" s="16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0.0" customHeight="1">
      <c r="A51" s="16"/>
      <c r="B51" s="16"/>
      <c r="C51" s="52" t="s">
        <v>86</v>
      </c>
      <c r="D51" s="48"/>
      <c r="E51" s="47">
        <v>2000.0</v>
      </c>
      <c r="F51" s="16"/>
      <c r="G51" s="44">
        <f t="shared" si="2"/>
        <v>0.03738317757</v>
      </c>
      <c r="H51" s="16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6"/>
      <c r="B52" s="20"/>
      <c r="C52" s="45"/>
      <c r="D52" s="48"/>
      <c r="E52" s="47">
        <v>0.0</v>
      </c>
      <c r="F52" s="49"/>
      <c r="G52" s="44">
        <f t="shared" si="2"/>
        <v>0</v>
      </c>
      <c r="H52" s="16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6"/>
      <c r="B53" s="38" t="s">
        <v>87</v>
      </c>
      <c r="C53" s="45"/>
      <c r="D53" s="48"/>
      <c r="E53" s="50" t="s">
        <v>41</v>
      </c>
      <c r="F53" s="41" t="s">
        <v>88</v>
      </c>
      <c r="G53" s="42">
        <f>F54/H23</f>
        <v>0</v>
      </c>
      <c r="H53" s="16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0.0" customHeight="1">
      <c r="A54" s="16"/>
      <c r="B54" s="16"/>
      <c r="C54" s="45" t="s">
        <v>89</v>
      </c>
      <c r="D54" s="48"/>
      <c r="E54" s="47">
        <v>0.0</v>
      </c>
      <c r="F54" s="54">
        <f>SUM(E54:E59)</f>
        <v>0</v>
      </c>
      <c r="G54" s="44">
        <f t="shared" ref="G54:G59" si="3">E54/$H$23</f>
        <v>0</v>
      </c>
      <c r="H54" s="16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6"/>
      <c r="B55" s="16"/>
      <c r="C55" s="45" t="s">
        <v>90</v>
      </c>
      <c r="D55" s="48"/>
      <c r="E55" s="47">
        <v>0.0</v>
      </c>
      <c r="F55" s="16"/>
      <c r="G55" s="44">
        <f t="shared" si="3"/>
        <v>0</v>
      </c>
      <c r="H55" s="16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6"/>
      <c r="B56" s="16"/>
      <c r="C56" s="45" t="s">
        <v>91</v>
      </c>
      <c r="D56" s="48"/>
      <c r="E56" s="47">
        <v>0.0</v>
      </c>
      <c r="F56" s="16"/>
      <c r="G56" s="44">
        <f t="shared" si="3"/>
        <v>0</v>
      </c>
      <c r="H56" s="16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6"/>
      <c r="B57" s="16"/>
      <c r="C57" s="45" t="s">
        <v>92</v>
      </c>
      <c r="D57" s="48"/>
      <c r="E57" s="47">
        <v>0.0</v>
      </c>
      <c r="F57" s="16"/>
      <c r="G57" s="44">
        <f t="shared" si="3"/>
        <v>0</v>
      </c>
      <c r="H57" s="16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0.0" customHeight="1">
      <c r="A58" s="16"/>
      <c r="B58" s="16"/>
      <c r="C58" s="45" t="s">
        <v>93</v>
      </c>
      <c r="D58" s="48"/>
      <c r="E58" s="47">
        <v>0.0</v>
      </c>
      <c r="F58" s="16"/>
      <c r="G58" s="44">
        <f t="shared" si="3"/>
        <v>0</v>
      </c>
      <c r="H58" s="16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20"/>
      <c r="B59" s="20"/>
      <c r="C59" s="45"/>
      <c r="D59" s="48"/>
      <c r="E59" s="47">
        <v>0.0</v>
      </c>
      <c r="F59" s="49"/>
      <c r="G59" s="44">
        <f t="shared" si="3"/>
        <v>0</v>
      </c>
      <c r="H59" s="4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1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1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1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1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1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1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1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1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1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1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1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1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1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1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1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1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1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1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1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1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1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1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1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1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1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1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1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1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1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1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1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1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1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1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1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1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1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1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1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1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1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1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1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1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1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1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1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1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1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1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1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1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1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1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1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1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1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1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1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1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1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1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1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1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1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1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1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1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1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1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1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1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1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1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1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1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1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1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1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1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1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1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1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1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1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1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1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1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1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1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1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1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1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1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1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1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1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1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1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1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1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1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1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1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1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1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1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1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1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1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1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1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1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1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1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1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1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1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1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1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1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1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1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1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1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1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1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1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1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1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1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1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1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1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1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1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1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1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1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1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1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1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1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1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1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1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1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1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1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1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1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1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1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1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1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1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1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1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1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1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1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1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1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1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1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1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1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1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1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1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1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1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1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1"/>
      <c r="B233" s="1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1"/>
      <c r="B234" s="1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1"/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1"/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1"/>
      <c r="B237" s="1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1"/>
      <c r="B238" s="1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1"/>
      <c r="B239" s="1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1"/>
      <c r="B240" s="1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1"/>
      <c r="B241" s="1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1"/>
      <c r="B242" s="1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1"/>
      <c r="B243" s="1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1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1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1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1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1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1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1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1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1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1"/>
      <c r="B253" s="1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1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1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1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1"/>
      <c r="B257" s="1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1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1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1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1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1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1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1"/>
      <c r="B264" s="1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1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1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1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1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1"/>
      <c r="B269" s="1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1"/>
      <c r="B270" s="1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1"/>
      <c r="B271" s="1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1"/>
      <c r="B272" s="1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1"/>
      <c r="B273" s="1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1"/>
      <c r="B274" s="1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1"/>
      <c r="B275" s="11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1"/>
      <c r="B276" s="1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1"/>
      <c r="B277" s="1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1"/>
      <c r="B278" s="11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1"/>
      <c r="B279" s="11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1"/>
      <c r="B280" s="1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1"/>
      <c r="B281" s="1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1"/>
      <c r="B282" s="1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1"/>
      <c r="B283" s="11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1"/>
      <c r="B284" s="1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1"/>
      <c r="B285" s="1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1"/>
      <c r="B286" s="1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1"/>
      <c r="B287" s="1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1"/>
      <c r="B288" s="11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1"/>
      <c r="B289" s="1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1"/>
      <c r="B290" s="1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1"/>
      <c r="B291" s="1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1"/>
      <c r="B292" s="1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1"/>
      <c r="B293" s="1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1"/>
      <c r="B294" s="1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1"/>
      <c r="B295" s="11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1"/>
      <c r="B296" s="1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1"/>
      <c r="B297" s="1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1"/>
      <c r="B298" s="1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1"/>
      <c r="B299" s="1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1"/>
      <c r="B300" s="1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1"/>
      <c r="B301" s="1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1"/>
      <c r="B302" s="1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1"/>
      <c r="B303" s="11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1"/>
      <c r="B304" s="1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1"/>
      <c r="B305" s="11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1"/>
      <c r="B306" s="11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1"/>
      <c r="B307" s="1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1"/>
      <c r="B308" s="1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1"/>
      <c r="B309" s="1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1"/>
      <c r="B310" s="1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1"/>
      <c r="B311" s="1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1"/>
      <c r="B312" s="1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1"/>
      <c r="B313" s="1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1"/>
      <c r="B314" s="1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1"/>
      <c r="B315" s="1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1"/>
      <c r="B316" s="1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1"/>
      <c r="B317" s="1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1"/>
      <c r="B318" s="1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1"/>
      <c r="B319" s="1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1"/>
      <c r="B320" s="1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1"/>
      <c r="B321" s="1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1"/>
      <c r="B322" s="1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1"/>
      <c r="B323" s="1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1"/>
      <c r="B324" s="1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1"/>
      <c r="B325" s="1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1"/>
      <c r="B326" s="1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1"/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1"/>
      <c r="B328" s="1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1"/>
      <c r="B329" s="1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1"/>
      <c r="B330" s="1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1"/>
      <c r="B331" s="1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1"/>
      <c r="B332" s="1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1"/>
      <c r="B333" s="1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1"/>
      <c r="B334" s="1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1"/>
      <c r="B335" s="1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1"/>
      <c r="B336" s="1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1"/>
      <c r="B337" s="1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1"/>
      <c r="B338" s="1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1"/>
      <c r="B339" s="1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1"/>
      <c r="B340" s="1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1"/>
      <c r="B341" s="1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1"/>
      <c r="B342" s="1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1"/>
      <c r="B343" s="1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1"/>
      <c r="B344" s="1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1"/>
      <c r="B345" s="1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1"/>
      <c r="B346" s="1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1"/>
      <c r="B347" s="1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1"/>
      <c r="B348" s="1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1"/>
      <c r="B349" s="1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1"/>
      <c r="B350" s="1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1"/>
      <c r="B351" s="1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1"/>
      <c r="B352" s="1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1"/>
      <c r="B353" s="11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1"/>
      <c r="B354" s="11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1"/>
      <c r="B355" s="1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1"/>
      <c r="B356" s="1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1"/>
      <c r="B357" s="1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1"/>
      <c r="B358" s="11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1"/>
      <c r="B359" s="1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1"/>
      <c r="B360" s="1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1"/>
      <c r="B361" s="1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1"/>
      <c r="B362" s="1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1"/>
      <c r="B363" s="11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1"/>
      <c r="B364" s="1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1"/>
      <c r="B365" s="1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1"/>
      <c r="B366" s="1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1"/>
      <c r="B367" s="1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1"/>
      <c r="B368" s="1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1"/>
      <c r="B369" s="1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1"/>
      <c r="B370" s="11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1"/>
      <c r="B371" s="1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1"/>
      <c r="B372" s="1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1"/>
      <c r="B373" s="1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1"/>
      <c r="B374" s="1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1"/>
      <c r="B375" s="1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1"/>
      <c r="B376" s="1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1"/>
      <c r="B377" s="11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1"/>
      <c r="B378" s="1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1"/>
      <c r="B379" s="1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1"/>
      <c r="B380" s="1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1"/>
      <c r="B381" s="1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1"/>
      <c r="B382" s="1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1"/>
      <c r="B383" s="1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1"/>
      <c r="B384" s="1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1"/>
      <c r="B385" s="1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1"/>
      <c r="B386" s="1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1"/>
      <c r="B387" s="1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1"/>
      <c r="B388" s="1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1"/>
      <c r="B389" s="1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1"/>
      <c r="B390" s="1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1"/>
      <c r="B391" s="1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1"/>
      <c r="B392" s="1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1"/>
      <c r="B393" s="1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1"/>
      <c r="B394" s="1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1"/>
      <c r="B395" s="1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1"/>
      <c r="B396" s="1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1"/>
      <c r="B397" s="1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1"/>
      <c r="B398" s="1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1"/>
      <c r="B399" s="1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1"/>
      <c r="B400" s="1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1"/>
      <c r="B401" s="1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1"/>
      <c r="B402" s="1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1"/>
      <c r="B403" s="1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1"/>
      <c r="B404" s="1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1"/>
      <c r="B405" s="1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1"/>
      <c r="B406" s="1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1"/>
      <c r="B407" s="1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1"/>
      <c r="B408" s="1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1"/>
      <c r="B409" s="1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1"/>
      <c r="B410" s="1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1"/>
      <c r="B411" s="1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1"/>
      <c r="B412" s="1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1"/>
      <c r="B413" s="1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1"/>
      <c r="B414" s="1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1"/>
      <c r="B415" s="1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1"/>
      <c r="B416" s="1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1"/>
      <c r="B417" s="1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1"/>
      <c r="B418" s="1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1"/>
      <c r="B419" s="1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1"/>
      <c r="B420" s="1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1"/>
      <c r="B421" s="1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1"/>
      <c r="B422" s="1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1"/>
      <c r="B423" s="1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1"/>
      <c r="B424" s="1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1"/>
      <c r="B425" s="1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1"/>
      <c r="B426" s="1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1"/>
      <c r="B427" s="1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1"/>
      <c r="B428" s="1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1"/>
      <c r="B429" s="1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1"/>
      <c r="B430" s="1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1"/>
      <c r="B431" s="1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1"/>
      <c r="B432" s="1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1"/>
      <c r="B433" s="1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1"/>
      <c r="B434" s="1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1"/>
      <c r="B435" s="1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1"/>
      <c r="B436" s="1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1"/>
      <c r="B437" s="1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1"/>
      <c r="B438" s="1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1"/>
      <c r="B439" s="1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1"/>
      <c r="B440" s="1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1"/>
      <c r="B441" s="1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1"/>
      <c r="B442" s="1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1"/>
      <c r="B443" s="1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1"/>
      <c r="B444" s="1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1"/>
      <c r="B445" s="1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1"/>
      <c r="B446" s="1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1"/>
      <c r="B447" s="1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1"/>
      <c r="B448" s="1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1"/>
      <c r="B449" s="1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1"/>
      <c r="B450" s="1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1"/>
      <c r="B451" s="1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1"/>
      <c r="B452" s="1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1"/>
      <c r="B453" s="1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1"/>
      <c r="B454" s="1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1"/>
      <c r="B455" s="1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1"/>
      <c r="B456" s="1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1"/>
      <c r="B457" s="1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1"/>
      <c r="B458" s="1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1"/>
      <c r="B459" s="1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1"/>
      <c r="B460" s="1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1"/>
      <c r="B461" s="1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1"/>
      <c r="B462" s="1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1"/>
      <c r="B463" s="1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1"/>
      <c r="B464" s="1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1"/>
      <c r="B465" s="1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1"/>
      <c r="B466" s="1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1"/>
      <c r="B467" s="1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1"/>
      <c r="B468" s="1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1"/>
      <c r="B469" s="1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1"/>
      <c r="B470" s="1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1"/>
      <c r="B471" s="1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1"/>
      <c r="B472" s="1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1"/>
      <c r="B473" s="1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1"/>
      <c r="B474" s="1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1"/>
      <c r="B475" s="1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1"/>
      <c r="B476" s="1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1"/>
      <c r="B477" s="1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1"/>
      <c r="B478" s="1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1"/>
      <c r="B479" s="1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1"/>
      <c r="B480" s="1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1"/>
      <c r="B481" s="1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1"/>
      <c r="B482" s="1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1"/>
      <c r="B483" s="1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1"/>
      <c r="B484" s="1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1"/>
      <c r="B485" s="1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1"/>
      <c r="B486" s="1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1"/>
      <c r="B487" s="1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1"/>
      <c r="B488" s="1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1"/>
      <c r="B489" s="1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1"/>
      <c r="B490" s="1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1"/>
      <c r="B491" s="1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1"/>
      <c r="B492" s="1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1"/>
      <c r="B493" s="1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1"/>
      <c r="B494" s="1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1"/>
      <c r="B495" s="1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1"/>
      <c r="B496" s="1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1"/>
      <c r="B497" s="1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1"/>
      <c r="B498" s="1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1"/>
      <c r="B499" s="1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1"/>
      <c r="B500" s="1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1"/>
      <c r="B501" s="1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1"/>
      <c r="B502" s="1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1"/>
      <c r="B503" s="1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1"/>
      <c r="B504" s="1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1"/>
      <c r="B505" s="1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1"/>
      <c r="B506" s="1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1"/>
      <c r="B507" s="1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1"/>
      <c r="B508" s="1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1"/>
      <c r="B509" s="1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1"/>
      <c r="B510" s="1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1"/>
      <c r="B511" s="1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1"/>
      <c r="B512" s="1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1"/>
      <c r="B513" s="1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1"/>
      <c r="B514" s="1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1"/>
      <c r="B515" s="1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1"/>
      <c r="B516" s="1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1"/>
      <c r="B517" s="1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1"/>
      <c r="B518" s="1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1"/>
      <c r="B519" s="1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1"/>
      <c r="B520" s="1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1"/>
      <c r="B521" s="1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1"/>
      <c r="B522" s="1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1"/>
      <c r="B523" s="1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1"/>
      <c r="B524" s="1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1"/>
      <c r="B525" s="1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1"/>
      <c r="B526" s="1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1"/>
      <c r="B527" s="1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1"/>
      <c r="B528" s="1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1"/>
      <c r="B529" s="1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1"/>
      <c r="B530" s="1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1"/>
      <c r="B531" s="1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1"/>
      <c r="B532" s="1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1"/>
      <c r="B533" s="1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1"/>
      <c r="B534" s="1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1"/>
      <c r="B535" s="1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1"/>
      <c r="B536" s="1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1"/>
      <c r="B537" s="1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1"/>
      <c r="B538" s="1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1"/>
      <c r="B539" s="11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1"/>
      <c r="B540" s="11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1"/>
      <c r="B541" s="11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1"/>
      <c r="B542" s="1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1"/>
      <c r="B543" s="11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1"/>
      <c r="B544" s="11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1"/>
      <c r="B545" s="11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1"/>
      <c r="B546" s="11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1"/>
      <c r="B547" s="11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1"/>
      <c r="B548" s="11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1"/>
      <c r="B549" s="11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1"/>
      <c r="B550" s="11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1"/>
      <c r="B551" s="11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1"/>
      <c r="B552" s="11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1"/>
      <c r="B553" s="11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1"/>
      <c r="B554" s="11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1"/>
      <c r="B555" s="11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1"/>
      <c r="B556" s="11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1"/>
      <c r="B557" s="11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1"/>
      <c r="B558" s="11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1"/>
      <c r="B559" s="11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1"/>
      <c r="B560" s="11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1"/>
      <c r="B561" s="1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1"/>
      <c r="B562" s="11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1"/>
      <c r="B563" s="11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1"/>
      <c r="B564" s="11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1"/>
      <c r="B565" s="11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1"/>
      <c r="B566" s="11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1"/>
      <c r="B567" s="11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1"/>
      <c r="B568" s="11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1"/>
      <c r="B569" s="11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1"/>
      <c r="B570" s="11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1"/>
      <c r="B571" s="11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1"/>
      <c r="B572" s="11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1"/>
      <c r="B573" s="11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1"/>
      <c r="B574" s="11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1"/>
      <c r="B575" s="11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1"/>
      <c r="B576" s="11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1"/>
      <c r="B577" s="11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1"/>
      <c r="B578" s="11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1"/>
      <c r="B579" s="11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1"/>
      <c r="B580" s="11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1"/>
      <c r="B581" s="1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1"/>
      <c r="B582" s="11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1"/>
      <c r="B583" s="11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1"/>
      <c r="B584" s="11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1"/>
      <c r="B585" s="11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1"/>
      <c r="B586" s="11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1"/>
      <c r="B587" s="11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1"/>
      <c r="B588" s="11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1"/>
      <c r="B589" s="11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1"/>
      <c r="B590" s="11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1"/>
      <c r="B591" s="11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1"/>
      <c r="B592" s="11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1"/>
      <c r="B593" s="11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1"/>
      <c r="B594" s="11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1"/>
      <c r="B595" s="1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1"/>
      <c r="B596" s="11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1"/>
      <c r="B597" s="11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1"/>
      <c r="B598" s="11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1"/>
      <c r="B599" s="11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1"/>
      <c r="B600" s="11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1"/>
      <c r="B601" s="11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1"/>
      <c r="B602" s="11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1"/>
      <c r="B603" s="11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1"/>
      <c r="B604" s="11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1"/>
      <c r="B605" s="11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1"/>
      <c r="B606" s="11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1"/>
      <c r="B607" s="11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1"/>
      <c r="B608" s="11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1"/>
      <c r="B609" s="11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1"/>
      <c r="B610" s="11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1"/>
      <c r="B611" s="11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1"/>
      <c r="B612" s="11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1"/>
      <c r="B613" s="11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1"/>
      <c r="B614" s="11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1"/>
      <c r="B615" s="1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1"/>
      <c r="B616" s="11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1"/>
      <c r="B617" s="11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1"/>
      <c r="B618" s="11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1"/>
      <c r="B619" s="11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1"/>
      <c r="B620" s="11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1"/>
      <c r="B621" s="11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1"/>
      <c r="B622" s="11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1"/>
      <c r="B623" s="11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1"/>
      <c r="B624" s="11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1"/>
      <c r="B625" s="11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1"/>
      <c r="B626" s="11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1"/>
      <c r="B627" s="11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1"/>
      <c r="B628" s="11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1"/>
      <c r="B629" s="1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1"/>
      <c r="B630" s="11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1"/>
      <c r="B631" s="11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1"/>
      <c r="B632" s="11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1"/>
      <c r="B633" s="11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1"/>
      <c r="B634" s="11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1"/>
      <c r="B635" s="11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1"/>
      <c r="B636" s="11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1"/>
      <c r="B637" s="11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1"/>
      <c r="B638" s="11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1"/>
      <c r="B639" s="11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1"/>
      <c r="B640" s="11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1"/>
      <c r="B641" s="11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1"/>
      <c r="B642" s="11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1"/>
      <c r="B643" s="11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1"/>
      <c r="B644" s="11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1"/>
      <c r="B645" s="11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1"/>
      <c r="B646" s="11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1"/>
      <c r="B647" s="11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1"/>
      <c r="B648" s="11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1"/>
      <c r="B649" s="11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1"/>
      <c r="B650" s="11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1"/>
      <c r="B651" s="11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1"/>
      <c r="B652" s="11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1"/>
      <c r="B653" s="11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1"/>
      <c r="B654" s="11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1"/>
      <c r="B655" s="11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1"/>
      <c r="B656" s="11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1"/>
      <c r="B657" s="11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1"/>
      <c r="B658" s="11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1"/>
      <c r="B659" s="11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1"/>
      <c r="B660" s="11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1"/>
      <c r="B661" s="11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1"/>
      <c r="B662" s="1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1"/>
      <c r="B663" s="1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1"/>
      <c r="B664" s="11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1"/>
      <c r="B665" s="11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1"/>
      <c r="B666" s="11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1"/>
      <c r="B667" s="11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1"/>
      <c r="B668" s="11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1"/>
      <c r="B669" s="1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1"/>
      <c r="B670" s="11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1"/>
      <c r="B671" s="11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1"/>
      <c r="B672" s="11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1"/>
      <c r="B673" s="11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1"/>
      <c r="B674" s="11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1"/>
      <c r="B675" s="11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1"/>
      <c r="B676" s="11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1"/>
      <c r="B677" s="11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1"/>
      <c r="B678" s="11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1"/>
      <c r="B679" s="11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1"/>
      <c r="B680" s="11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1"/>
      <c r="B681" s="11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1"/>
      <c r="B682" s="11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1"/>
      <c r="B683" s="11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1"/>
      <c r="B684" s="11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1"/>
      <c r="B685" s="11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1"/>
      <c r="B686" s="11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1"/>
      <c r="B687" s="11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1"/>
      <c r="B688" s="11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1"/>
      <c r="B689" s="11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1"/>
      <c r="B690" s="11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1"/>
      <c r="B691" s="11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1"/>
      <c r="B692" s="11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1"/>
      <c r="B693" s="11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1"/>
      <c r="B694" s="11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1"/>
      <c r="B695" s="11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1"/>
      <c r="B696" s="1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1"/>
      <c r="B697" s="11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1"/>
      <c r="B698" s="11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1"/>
      <c r="B699" s="11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1"/>
      <c r="B700" s="11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1"/>
      <c r="B701" s="11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1"/>
      <c r="B702" s="11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1"/>
      <c r="B703" s="11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1"/>
      <c r="B704" s="11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1"/>
      <c r="B705" s="11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1"/>
      <c r="B706" s="11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1"/>
      <c r="B707" s="11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1"/>
      <c r="B708" s="11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1"/>
      <c r="B709" s="11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1"/>
      <c r="B710" s="11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1"/>
      <c r="B711" s="11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1"/>
      <c r="B712" s="11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1"/>
      <c r="B713" s="1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1"/>
      <c r="B714" s="11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1"/>
      <c r="B715" s="11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1"/>
      <c r="B716" s="11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1"/>
      <c r="B717" s="11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1"/>
      <c r="B718" s="11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1"/>
      <c r="B719" s="11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1"/>
      <c r="B720" s="11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1"/>
      <c r="B721" s="11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1"/>
      <c r="B722" s="11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1"/>
      <c r="B723" s="11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1"/>
      <c r="B724" s="11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1"/>
      <c r="B725" s="11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1"/>
      <c r="B726" s="11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1"/>
      <c r="B727" s="11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1"/>
      <c r="B728" s="11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1"/>
      <c r="B729" s="11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1"/>
      <c r="B730" s="1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1"/>
      <c r="B731" s="11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1"/>
      <c r="B732" s="11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1"/>
      <c r="B733" s="11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1"/>
      <c r="B734" s="11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1"/>
      <c r="B735" s="11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1"/>
      <c r="B736" s="11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1"/>
      <c r="B737" s="11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1"/>
      <c r="B738" s="11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1"/>
      <c r="B739" s="11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1"/>
      <c r="B740" s="11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1"/>
      <c r="B741" s="11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1"/>
      <c r="B742" s="11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1"/>
      <c r="B743" s="1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1"/>
      <c r="B744" s="11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1"/>
      <c r="B745" s="11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1"/>
      <c r="B746" s="11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1"/>
      <c r="B747" s="11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1"/>
      <c r="B748" s="11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1"/>
      <c r="B749" s="11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1"/>
      <c r="B750" s="11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1"/>
      <c r="B751" s="11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1"/>
      <c r="B752" s="11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1"/>
      <c r="B753" s="11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1"/>
      <c r="B754" s="1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1"/>
      <c r="B755" s="11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1"/>
      <c r="B756" s="11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1"/>
      <c r="B757" s="11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1"/>
      <c r="B758" s="11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1"/>
      <c r="B759" s="11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1"/>
      <c r="B760" s="11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1"/>
      <c r="B761" s="11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1"/>
      <c r="B762" s="11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1"/>
      <c r="B763" s="11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1"/>
      <c r="B764" s="1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1"/>
      <c r="B765" s="11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1"/>
      <c r="B766" s="11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1"/>
      <c r="B767" s="11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1"/>
      <c r="B768" s="11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1"/>
      <c r="B769" s="11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1"/>
      <c r="B770" s="11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1"/>
      <c r="B771" s="11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1"/>
      <c r="B772" s="11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1"/>
      <c r="B773" s="11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1"/>
      <c r="B774" s="11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1"/>
      <c r="B775" s="11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1"/>
      <c r="B776" s="11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1"/>
      <c r="B777" s="11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1"/>
      <c r="B778" s="11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1"/>
      <c r="B779" s="11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1"/>
      <c r="B780" s="11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1"/>
      <c r="B781" s="11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1"/>
      <c r="B782" s="11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1"/>
      <c r="B783" s="11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1"/>
      <c r="B784" s="11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1"/>
      <c r="B785" s="11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1"/>
      <c r="B786" s="11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1"/>
      <c r="B787" s="11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1"/>
      <c r="B788" s="11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1"/>
      <c r="B789" s="11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1"/>
      <c r="B790" s="11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1"/>
      <c r="B791" s="11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1"/>
      <c r="B792" s="11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1"/>
      <c r="B793" s="11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1"/>
      <c r="B794" s="11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1"/>
      <c r="B795" s="11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1"/>
      <c r="B796" s="11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1"/>
      <c r="B797" s="11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1"/>
      <c r="B798" s="1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1"/>
      <c r="B799" s="11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1"/>
      <c r="B800" s="11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1"/>
      <c r="B801" s="11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1"/>
      <c r="B802" s="11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1"/>
      <c r="B803" s="1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1"/>
      <c r="B804" s="1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1"/>
      <c r="B805" s="1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1"/>
      <c r="B806" s="1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1"/>
      <c r="B807" s="11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1"/>
      <c r="B808" s="11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1"/>
      <c r="B809" s="11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1"/>
      <c r="B810" s="11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1"/>
      <c r="B811" s="11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1"/>
      <c r="B812" s="11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1"/>
      <c r="B813" s="11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1"/>
      <c r="B814" s="11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1"/>
      <c r="B815" s="11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1"/>
      <c r="B816" s="11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1"/>
      <c r="B817" s="11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1"/>
      <c r="B818" s="11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1"/>
      <c r="B819" s="11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1"/>
      <c r="B820" s="11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1"/>
      <c r="B821" s="11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1"/>
      <c r="B822" s="11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1"/>
      <c r="B823" s="11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1"/>
      <c r="B824" s="11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1"/>
      <c r="B825" s="11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1"/>
      <c r="B826" s="11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1"/>
      <c r="B827" s="11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1"/>
      <c r="B828" s="11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1"/>
      <c r="B829" s="11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1"/>
      <c r="B830" s="11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1"/>
      <c r="B831" s="11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1"/>
      <c r="B832" s="1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1"/>
      <c r="B833" s="11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1"/>
      <c r="B834" s="11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1"/>
      <c r="B835" s="11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1"/>
      <c r="B836" s="11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1"/>
      <c r="B837" s="11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1"/>
      <c r="B838" s="11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1"/>
      <c r="B839" s="11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1"/>
      <c r="B840" s="11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1"/>
      <c r="B841" s="11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1"/>
      <c r="B842" s="11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1"/>
      <c r="B843" s="11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1"/>
      <c r="B844" s="11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1"/>
      <c r="B845" s="11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1"/>
      <c r="B846" s="11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1"/>
      <c r="B847" s="11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1"/>
      <c r="B848" s="1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1"/>
      <c r="B849" s="11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1"/>
      <c r="B850" s="11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1"/>
      <c r="B851" s="11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1"/>
      <c r="B852" s="11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1"/>
      <c r="B853" s="11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1"/>
      <c r="B854" s="11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1"/>
      <c r="B855" s="11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1"/>
      <c r="B856" s="11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1"/>
      <c r="B857" s="11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1"/>
      <c r="B858" s="11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1"/>
      <c r="B859" s="11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1"/>
      <c r="B860" s="11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1"/>
      <c r="B861" s="11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1"/>
      <c r="B862" s="11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1"/>
      <c r="B863" s="11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1"/>
      <c r="B864" s="11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1"/>
      <c r="B865" s="11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1"/>
      <c r="B866" s="1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1"/>
      <c r="B867" s="11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1"/>
      <c r="B868" s="11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1"/>
      <c r="B869" s="11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1"/>
      <c r="B870" s="11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1"/>
      <c r="B871" s="11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1"/>
      <c r="B872" s="11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1"/>
      <c r="B873" s="11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1"/>
      <c r="B874" s="11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1"/>
      <c r="B875" s="11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1"/>
      <c r="B876" s="11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1"/>
      <c r="B877" s="11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1"/>
      <c r="B878" s="11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1"/>
      <c r="B879" s="11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1"/>
      <c r="B880" s="11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1"/>
      <c r="B881" s="11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1"/>
      <c r="B882" s="11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1"/>
      <c r="B883" s="11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1"/>
      <c r="B884" s="11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1"/>
      <c r="B885" s="1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1"/>
      <c r="B886" s="11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1"/>
      <c r="B887" s="11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1"/>
      <c r="B888" s="11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1"/>
      <c r="B889" s="11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1"/>
      <c r="B890" s="1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1"/>
      <c r="B891" s="11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1"/>
      <c r="B892" s="11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1"/>
      <c r="B893" s="1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1"/>
      <c r="B894" s="11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1"/>
      <c r="B895" s="11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1"/>
      <c r="B896" s="1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1"/>
      <c r="B897" s="11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1"/>
      <c r="B898" s="11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1"/>
      <c r="B899" s="1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1"/>
      <c r="B900" s="1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1"/>
      <c r="B901" s="11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1"/>
      <c r="B902" s="11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1"/>
      <c r="B903" s="11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1"/>
      <c r="B904" s="11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1"/>
      <c r="B905" s="11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1"/>
      <c r="B906" s="11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1"/>
      <c r="B907" s="11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1"/>
      <c r="B908" s="11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1"/>
      <c r="B909" s="11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1"/>
      <c r="B910" s="11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1"/>
      <c r="B911" s="11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1"/>
      <c r="B912" s="11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1"/>
      <c r="B913" s="11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1"/>
      <c r="B914" s="11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1"/>
      <c r="B915" s="11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1"/>
      <c r="B916" s="11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1"/>
      <c r="B917" s="11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1"/>
      <c r="B918" s="11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1"/>
      <c r="B919" s="11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1"/>
      <c r="B920" s="11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1"/>
      <c r="B921" s="11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1"/>
      <c r="B922" s="11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1"/>
      <c r="B923" s="11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1"/>
      <c r="B924" s="1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1"/>
      <c r="B925" s="11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1"/>
      <c r="B926" s="11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1"/>
      <c r="B927" s="1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1"/>
      <c r="B928" s="11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1"/>
      <c r="B929" s="11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1"/>
      <c r="B930" s="11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1"/>
      <c r="B931" s="11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1"/>
      <c r="B932" s="1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1"/>
      <c r="B933" s="11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1"/>
      <c r="B934" s="11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1"/>
      <c r="B935" s="11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1"/>
      <c r="B936" s="11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1"/>
      <c r="B937" s="11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1"/>
      <c r="B938" s="11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1"/>
      <c r="B939" s="11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1"/>
      <c r="B940" s="11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1"/>
      <c r="B941" s="11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1"/>
      <c r="B942" s="11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1"/>
      <c r="B943" s="11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1"/>
      <c r="B944" s="11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1"/>
      <c r="B945" s="11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1"/>
      <c r="B946" s="11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1"/>
      <c r="B947" s="11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1"/>
      <c r="B948" s="11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1"/>
      <c r="B949" s="11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1"/>
      <c r="B950" s="11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1"/>
      <c r="B951" s="11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1"/>
      <c r="B952" s="11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1"/>
      <c r="B953" s="11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1"/>
      <c r="B954" s="11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1"/>
      <c r="B955" s="11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1"/>
      <c r="B956" s="11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1"/>
      <c r="B957" s="11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1"/>
      <c r="B958" s="11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1"/>
      <c r="B959" s="11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1"/>
      <c r="B960" s="11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1"/>
      <c r="B961" s="11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1"/>
      <c r="B962" s="11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1"/>
      <c r="B963" s="11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1"/>
      <c r="B964" s="11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1"/>
      <c r="B965" s="11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1"/>
      <c r="B966" s="1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1"/>
      <c r="B967" s="11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1"/>
      <c r="B968" s="11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1"/>
      <c r="B969" s="11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1"/>
      <c r="B970" s="11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1"/>
      <c r="B971" s="11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1"/>
      <c r="B972" s="11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1"/>
      <c r="B973" s="11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1"/>
      <c r="B974" s="11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1"/>
      <c r="B975" s="11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1"/>
      <c r="B976" s="11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1"/>
      <c r="B977" s="11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1"/>
      <c r="B978" s="11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1"/>
      <c r="B979" s="11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1"/>
      <c r="B980" s="11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1"/>
      <c r="B981" s="11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1"/>
      <c r="B982" s="11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1"/>
      <c r="B983" s="11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1"/>
      <c r="B984" s="11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1"/>
      <c r="B985" s="11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1"/>
      <c r="B986" s="11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1"/>
      <c r="B987" s="11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1"/>
      <c r="B988" s="11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1"/>
      <c r="B989" s="11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1"/>
      <c r="B990" s="11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1"/>
      <c r="B991" s="11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1"/>
      <c r="B992" s="11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1"/>
      <c r="B993" s="11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1"/>
      <c r="B994" s="11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1"/>
      <c r="B995" s="11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1"/>
      <c r="B996" s="11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1"/>
      <c r="B997" s="11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1"/>
      <c r="B998" s="11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1"/>
      <c r="B999" s="11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1"/>
      <c r="B1000" s="11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0">
    <mergeCell ref="A16:B21"/>
    <mergeCell ref="B23:B33"/>
    <mergeCell ref="C23:C24"/>
    <mergeCell ref="D23:D24"/>
    <mergeCell ref="E23:E24"/>
    <mergeCell ref="H23:H59"/>
    <mergeCell ref="F24:F33"/>
    <mergeCell ref="F35:F52"/>
    <mergeCell ref="F54:F59"/>
    <mergeCell ref="B34:B52"/>
    <mergeCell ref="C39:C40"/>
    <mergeCell ref="C41:C42"/>
    <mergeCell ref="A1:B1"/>
    <mergeCell ref="A2:B2"/>
    <mergeCell ref="A4:A15"/>
    <mergeCell ref="E5:E15"/>
    <mergeCell ref="E17:E21"/>
    <mergeCell ref="A22:C22"/>
    <mergeCell ref="A23:A59"/>
    <mergeCell ref="B53:B5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2008-01-26T01:43:47Z</dcterms:created>
  <dc:creator>Юлия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str/>
  </property>
  <property fmtid="{D5CDD505-2E9C-101B-9397-08002B2CF9AE}" pid="3" name="Info 2">
    <vt:lpstr/>
  </property>
  <property fmtid="{D5CDD505-2E9C-101B-9397-08002B2CF9AE}" pid="4" name="Info 3">
    <vt:lpstr/>
  </property>
  <property fmtid="{D5CDD505-2E9C-101B-9397-08002B2CF9AE}" pid="5" name="Info 4">
    <vt:lpstr/>
  </property>
</Properties>
</file>